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Notas" sheetId="2" state="visible" r:id="rId2"/>
  </sheets>
  <definedNames>
    <definedName name="_xlnm._FilterDatabase" localSheetId="1" hidden="1">'Notas'!$A$1:$Q$13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 hh:mm"/>
    <numFmt numFmtId="166" formatCode="R$ #,##0.00;[Red]-R$ #,##0.00"/>
    <numFmt numFmtId="167" formatCode="yyyy-mm-dd"/>
    <numFmt numFmtId="168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52F"/>
      </patternFill>
    </fill>
    <fill>
      <patternFill patternType="solid">
        <fgColor rgb="00DDEFE8"/>
      </patternFill>
    </fill>
  </fills>
  <borders count="2">
    <border>
      <left/>
      <right/>
      <top/>
      <bottom/>
      <diagonal/>
    </border>
    <border>
      <bottom style="thin">
        <color rgb="00C7D3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2" fillId="3" borderId="1" pivotButton="0" quotePrefix="0" xfId="0"/>
    <xf numFmtId="166" fontId="2" fillId="3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tencoesNFSe" displayName="RetencoesNFSe" ref="A1:Q13" headerRowCount="1">
  <autoFilter ref="A1:Q13"/>
  <tableColumns count="17">
    <tableColumn id="1" name="Empresa"/>
    <tableColumn id="2" name="Código Domínio"/>
    <tableColumn id="3" name="Número da nota"/>
    <tableColumn id="4" name="Movimento"/>
    <tableColumn id="5" name="Data de emissão"/>
    <tableColumn id="6" name="Competência"/>
    <tableColumn id="7" name="Contraparte"/>
    <tableColumn id="8" name="Código do serviço"/>
    <tableColumn id="9" name="Descrição do serviço"/>
    <tableColumn id="10" name="Valor da nota"/>
    <tableColumn id="11" name="ISS retido"/>
    <tableColumn id="12" name="PIS retido"/>
    <tableColumn id="13" name="COFINS retido"/>
    <tableColumn id="14" name="CSLL retida"/>
    <tableColumn id="15" name="IRRF retido"/>
    <tableColumn id="16" name="INSS retido"/>
    <tableColumn id="17" name="Total ret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0" customHeight="1">
      <c r="A1" s="1" t="inlineStr">
        <is>
          <t>Relatório de retenções NFS-e · DEMONSTRAÇÃO</t>
        </is>
      </c>
    </row>
    <row r="2">
      <c r="A2" s="2" t="inlineStr">
        <is>
          <t>Gerado em</t>
        </is>
      </c>
      <c r="B2" s="3" t="n">
        <v>46296.79742814565</v>
      </c>
    </row>
    <row r="3">
      <c r="A3" s="2" t="inlineStr">
        <is>
          <t>Notas no recorte</t>
        </is>
      </c>
      <c r="B3" s="4" t="n">
        <v>12</v>
      </c>
    </row>
    <row r="4">
      <c r="A4" s="2" t="inlineStr">
        <is>
          <t>Valor das notas</t>
        </is>
      </c>
      <c r="B4" s="5">
        <f>SUM(Notas!J2:J13)</f>
        <v/>
      </c>
    </row>
    <row r="5">
      <c r="A5" s="2" t="inlineStr">
        <is>
          <t>ISS retido</t>
        </is>
      </c>
      <c r="B5" s="5">
        <f>SUM(Notas!K2:K13)</f>
        <v/>
      </c>
    </row>
    <row r="6">
      <c r="A6" s="2" t="inlineStr">
        <is>
          <t>PIS retido</t>
        </is>
      </c>
      <c r="B6" s="5">
        <f>SUM(Notas!L2:L13)</f>
        <v/>
      </c>
    </row>
    <row r="7">
      <c r="A7" s="2" t="inlineStr">
        <is>
          <t>COFINS retido</t>
        </is>
      </c>
      <c r="B7" s="5">
        <f>SUM(Notas!M2:M13)</f>
        <v/>
      </c>
    </row>
    <row r="8">
      <c r="A8" s="2" t="inlineStr">
        <is>
          <t>CSLL retido</t>
        </is>
      </c>
      <c r="B8" s="5">
        <f>SUM(Notas!N2:N13)</f>
        <v/>
      </c>
    </row>
    <row r="9">
      <c r="A9" s="2" t="inlineStr">
        <is>
          <t>IRRF retido</t>
        </is>
      </c>
      <c r="B9" s="5">
        <f>SUM(Notas!O2:O13)</f>
        <v/>
      </c>
    </row>
    <row r="10">
      <c r="A10" s="2" t="inlineStr">
        <is>
          <t>INSS retido</t>
        </is>
      </c>
      <c r="B10" s="5">
        <f>SUM(Notas!P2:P13)</f>
        <v/>
      </c>
    </row>
    <row r="11">
      <c r="A11" s="6" t="inlineStr">
        <is>
          <t>Total retido</t>
        </is>
      </c>
      <c r="B11" s="7">
        <f>SUM(Notas!Q2:Q13)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8" customWidth="1" min="4" max="4"/>
    <col width="16" customWidth="1" min="5" max="5"/>
    <col width="14" customWidth="1" min="6" max="6"/>
    <col width="32" customWidth="1" min="7" max="7"/>
    <col width="18" customWidth="1" min="8" max="8"/>
    <col width="48" customWidth="1" min="9" max="9"/>
    <col width="18" customWidth="1" min="10" max="10"/>
    <col width="15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  <col width="18" customWidth="1" min="17" max="17"/>
  </cols>
  <sheetData>
    <row r="1">
      <c r="A1" s="8" t="inlineStr">
        <is>
          <t>Empresa</t>
        </is>
      </c>
      <c r="B1" s="8" t="inlineStr">
        <is>
          <t>Código Domínio</t>
        </is>
      </c>
      <c r="C1" s="8" t="inlineStr">
        <is>
          <t>Número da nota</t>
        </is>
      </c>
      <c r="D1" s="8" t="inlineStr">
        <is>
          <t>Movimento</t>
        </is>
      </c>
      <c r="E1" s="8" t="inlineStr">
        <is>
          <t>Data de emissão</t>
        </is>
      </c>
      <c r="F1" s="8" t="inlineStr">
        <is>
          <t>Competência</t>
        </is>
      </c>
      <c r="G1" s="8" t="inlineStr">
        <is>
          <t>Contraparte</t>
        </is>
      </c>
      <c r="H1" s="8" t="inlineStr">
        <is>
          <t>Código do serviço</t>
        </is>
      </c>
      <c r="I1" s="8" t="inlineStr">
        <is>
          <t>Descrição do serviço</t>
        </is>
      </c>
      <c r="J1" s="8" t="inlineStr">
        <is>
          <t>Valor da nota</t>
        </is>
      </c>
      <c r="K1" s="8" t="inlineStr">
        <is>
          <t>ISS retido</t>
        </is>
      </c>
      <c r="L1" s="8" t="inlineStr">
        <is>
          <t>PIS retido</t>
        </is>
      </c>
      <c r="M1" s="8" t="inlineStr">
        <is>
          <t>COFINS retido</t>
        </is>
      </c>
      <c r="N1" s="8" t="inlineStr">
        <is>
          <t>CSLL retida</t>
        </is>
      </c>
      <c r="O1" s="8" t="inlineStr">
        <is>
          <t>IRRF retido</t>
        </is>
      </c>
      <c r="P1" s="8" t="inlineStr">
        <is>
          <t>INSS retido</t>
        </is>
      </c>
      <c r="Q1" s="8" t="inlineStr">
        <is>
          <t>Total retido</t>
        </is>
      </c>
    </row>
    <row r="2">
      <c r="A2" s="9" t="inlineStr">
        <is>
          <t>Clínica Odonto Sorriso</t>
        </is>
      </c>
      <c r="B2" s="9" t="inlineStr">
        <is>
          <t>0103</t>
        </is>
      </c>
      <c r="C2" s="9" t="inlineStr">
        <is>
          <t>DEMO-0103-001</t>
        </is>
      </c>
      <c r="D2" s="9" t="inlineStr">
        <is>
          <t>Saída · serviço prestado</t>
        </is>
      </c>
      <c r="E2" s="10" t="n">
        <v>46295</v>
      </c>
      <c r="F2" s="9" t="inlineStr">
        <is>
          <t>09/2026</t>
        </is>
      </c>
      <c r="G2" s="9" t="inlineStr">
        <is>
          <t>Contraparte fictícia</t>
        </is>
      </c>
      <c r="H2" s="9" t="inlineStr">
        <is>
          <t>1701</t>
        </is>
      </c>
      <c r="I2" s="11" t="inlineStr">
        <is>
          <t>Assessoria fiscal fictícia do período</t>
        </is>
      </c>
      <c r="J2" s="12" t="n">
        <v>754.5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>
        <f>SUM(K2:P2)</f>
        <v/>
      </c>
    </row>
    <row r="3">
      <c r="A3" s="9" t="inlineStr">
        <is>
          <t>Clínica Odonto Sorriso</t>
        </is>
      </c>
      <c r="B3" s="9" t="inlineStr">
        <is>
          <t>0103</t>
        </is>
      </c>
      <c r="C3" s="9" t="inlineStr">
        <is>
          <t>DEMO-0103-002</t>
        </is>
      </c>
      <c r="D3" s="9" t="inlineStr">
        <is>
          <t>Entrada · serviço tomado</t>
        </is>
      </c>
      <c r="E3" s="10" t="n">
        <v>46292</v>
      </c>
      <c r="F3" s="9" t="inlineStr">
        <is>
          <t>09/2026</t>
        </is>
      </c>
      <c r="G3" s="9" t="inlineStr">
        <is>
          <t>Contraparte fictícia</t>
        </is>
      </c>
      <c r="H3" s="9" t="inlineStr">
        <is>
          <t>0910</t>
        </is>
      </c>
      <c r="I3" s="11" t="inlineStr">
        <is>
          <t>Serviço administrativo fictício de apoio operacional</t>
        </is>
      </c>
      <c r="J3" s="12" t="n">
        <v>815.75</v>
      </c>
      <c r="K3" s="12" t="n">
        <v>24.03</v>
      </c>
      <c r="L3" s="12" t="n">
        <v>6.5</v>
      </c>
      <c r="M3" s="12" t="n">
        <v>30</v>
      </c>
      <c r="N3" s="12" t="n">
        <v>10</v>
      </c>
      <c r="O3" s="12" t="n">
        <v>7.2</v>
      </c>
      <c r="P3" s="12" t="n">
        <v>52.87</v>
      </c>
      <c r="Q3" s="12">
        <f>SUM(K3:P3)</f>
        <v/>
      </c>
    </row>
    <row r="4">
      <c r="A4" s="9" t="inlineStr">
        <is>
          <t>Clínica Odonto Sorriso</t>
        </is>
      </c>
      <c r="B4" s="9" t="inlineStr">
        <is>
          <t>0103</t>
        </is>
      </c>
      <c r="C4" s="9" t="inlineStr">
        <is>
          <t>DEMO-0103-003</t>
        </is>
      </c>
      <c r="D4" s="9" t="inlineStr">
        <is>
          <t>Saída · serviço prestado</t>
        </is>
      </c>
      <c r="E4" s="10" t="n">
        <v>46289</v>
      </c>
      <c r="F4" s="9" t="inlineStr">
        <is>
          <t>09/2026</t>
        </is>
      </c>
      <c r="G4" s="9" t="inlineStr">
        <is>
          <t>Contraparte fictícia</t>
        </is>
      </c>
      <c r="H4" s="9" t="inlineStr">
        <is>
          <t>1401</t>
        </is>
      </c>
      <c r="I4" s="11" t="inlineStr">
        <is>
          <t>Escrituração contábil fictícia do período</t>
        </is>
      </c>
      <c r="J4" s="12" t="n">
        <v>877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>
        <f>SUM(K4:P4)</f>
        <v/>
      </c>
    </row>
    <row r="5">
      <c r="A5" s="9" t="inlineStr">
        <is>
          <t>Clínica Odonto Sorriso</t>
        </is>
      </c>
      <c r="B5" s="9" t="inlineStr">
        <is>
          <t>0103</t>
        </is>
      </c>
      <c r="C5" s="9" t="inlineStr">
        <is>
          <t>DEMO-0103-004</t>
        </is>
      </c>
      <c r="D5" s="9" t="inlineStr">
        <is>
          <t>Entrada · serviço tomado</t>
        </is>
      </c>
      <c r="E5" s="10" t="n">
        <v>46286</v>
      </c>
      <c r="F5" s="9" t="inlineStr">
        <is>
          <t>09/2026</t>
        </is>
      </c>
      <c r="G5" s="9" t="inlineStr">
        <is>
          <t>Contraparte fictícia</t>
        </is>
      </c>
      <c r="H5" s="9" t="inlineStr">
        <is>
          <t>0702</t>
        </is>
      </c>
      <c r="I5" s="11" t="inlineStr">
        <is>
          <t>Apoio técnico fictício para regularização cadastral</t>
        </is>
      </c>
      <c r="J5" s="12" t="n">
        <v>938.25</v>
      </c>
      <c r="K5" s="12" t="n">
        <v>24.03</v>
      </c>
      <c r="L5" s="12" t="n">
        <v>6.5</v>
      </c>
      <c r="M5" s="12" t="n">
        <v>30</v>
      </c>
      <c r="N5" s="12" t="n">
        <v>10</v>
      </c>
      <c r="O5" s="12" t="n">
        <v>7.2</v>
      </c>
      <c r="P5" s="12" t="n">
        <v>52.87</v>
      </c>
      <c r="Q5" s="12">
        <f>SUM(K5:P5)</f>
        <v/>
      </c>
    </row>
    <row r="6">
      <c r="A6" s="9" t="inlineStr">
        <is>
          <t>Mercado São Jorge Ltda</t>
        </is>
      </c>
      <c r="B6" s="9" t="inlineStr">
        <is>
          <t>0104</t>
        </is>
      </c>
      <c r="C6" s="9" t="inlineStr">
        <is>
          <t>DEMO-0104-001</t>
        </is>
      </c>
      <c r="D6" s="9" t="inlineStr">
        <is>
          <t>Saída · serviço prestado</t>
        </is>
      </c>
      <c r="E6" s="10" t="n">
        <v>46295</v>
      </c>
      <c r="F6" s="9" t="inlineStr">
        <is>
          <t>09/2026</t>
        </is>
      </c>
      <c r="G6" s="9" t="inlineStr">
        <is>
          <t>Contraparte fictícia</t>
        </is>
      </c>
      <c r="H6" s="9" t="inlineStr">
        <is>
          <t>0910</t>
        </is>
      </c>
      <c r="I6" s="11" t="inlineStr">
        <is>
          <t>Serviço administrativo fictício de apoio operacional</t>
        </is>
      </c>
      <c r="J6" s="12" t="n">
        <v>891.5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>
        <f>SUM(K6:P6)</f>
        <v/>
      </c>
    </row>
    <row r="7">
      <c r="A7" s="9" t="inlineStr">
        <is>
          <t>Mercado São Jorge Ltda</t>
        </is>
      </c>
      <c r="B7" s="9" t="inlineStr">
        <is>
          <t>0104</t>
        </is>
      </c>
      <c r="C7" s="9" t="inlineStr">
        <is>
          <t>DEMO-0104-002</t>
        </is>
      </c>
      <c r="D7" s="9" t="inlineStr">
        <is>
          <t>Entrada · serviço tomado</t>
        </is>
      </c>
      <c r="E7" s="10" t="n">
        <v>46292</v>
      </c>
      <c r="F7" s="9" t="inlineStr">
        <is>
          <t>09/2026</t>
        </is>
      </c>
      <c r="G7" s="9" t="inlineStr">
        <is>
          <t>Contraparte fictícia</t>
        </is>
      </c>
      <c r="H7" s="9" t="inlineStr">
        <is>
          <t>1401</t>
        </is>
      </c>
      <c r="I7" s="11" t="inlineStr">
        <is>
          <t>Escrituração contábil fictícia do período</t>
        </is>
      </c>
      <c r="J7" s="12" t="n">
        <v>952.75</v>
      </c>
      <c r="K7" s="12" t="n">
        <v>24.03</v>
      </c>
      <c r="L7" s="12" t="n">
        <v>6.5</v>
      </c>
      <c r="M7" s="12" t="n">
        <v>30</v>
      </c>
      <c r="N7" s="12" t="n">
        <v>10</v>
      </c>
      <c r="O7" s="12" t="n">
        <v>7.2</v>
      </c>
      <c r="P7" s="12" t="n">
        <v>52.87</v>
      </c>
      <c r="Q7" s="12">
        <f>SUM(K7:P7)</f>
        <v/>
      </c>
    </row>
    <row r="8">
      <c r="A8" s="9" t="inlineStr">
        <is>
          <t>Mercado São Jorge Ltda</t>
        </is>
      </c>
      <c r="B8" s="9" t="inlineStr">
        <is>
          <t>0104</t>
        </is>
      </c>
      <c r="C8" s="9" t="inlineStr">
        <is>
          <t>DEMO-0104-003</t>
        </is>
      </c>
      <c r="D8" s="9" t="inlineStr">
        <is>
          <t>Saída · serviço prestado</t>
        </is>
      </c>
      <c r="E8" s="10" t="n">
        <v>46289</v>
      </c>
      <c r="F8" s="9" t="inlineStr">
        <is>
          <t>09/2026</t>
        </is>
      </c>
      <c r="G8" s="9" t="inlineStr">
        <is>
          <t>Contraparte fictícia</t>
        </is>
      </c>
      <c r="H8" s="9" t="inlineStr">
        <is>
          <t>0702</t>
        </is>
      </c>
      <c r="I8" s="11" t="inlineStr">
        <is>
          <t>Apoio técnico fictício para regularização cadastral</t>
        </is>
      </c>
      <c r="J8" s="12" t="n">
        <v>1014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>
        <f>SUM(K8:P8)</f>
        <v/>
      </c>
    </row>
    <row r="9">
      <c r="A9" s="9" t="inlineStr">
        <is>
          <t>Mercado São Jorge Ltda</t>
        </is>
      </c>
      <c r="B9" s="9" t="inlineStr">
        <is>
          <t>0104</t>
        </is>
      </c>
      <c r="C9" s="9" t="inlineStr">
        <is>
          <t>DEMO-0104-004</t>
        </is>
      </c>
      <c r="D9" s="9" t="inlineStr">
        <is>
          <t>Entrada · serviço tomado</t>
        </is>
      </c>
      <c r="E9" s="10" t="n">
        <v>46286</v>
      </c>
      <c r="F9" s="9" t="inlineStr">
        <is>
          <t>09/2026</t>
        </is>
      </c>
      <c r="G9" s="9" t="inlineStr">
        <is>
          <t>Contraparte fictícia</t>
        </is>
      </c>
      <c r="H9" s="9" t="inlineStr">
        <is>
          <t>1701</t>
        </is>
      </c>
      <c r="I9" s="11" t="inlineStr">
        <is>
          <t>Assessoria fiscal fictícia do período</t>
        </is>
      </c>
      <c r="J9" s="12" t="n">
        <v>1075.25</v>
      </c>
      <c r="K9" s="12" t="n">
        <v>24.03</v>
      </c>
      <c r="L9" s="12" t="n">
        <v>6.5</v>
      </c>
      <c r="M9" s="12" t="n">
        <v>30</v>
      </c>
      <c r="N9" s="12" t="n">
        <v>10</v>
      </c>
      <c r="O9" s="12" t="n">
        <v>7.2</v>
      </c>
      <c r="P9" s="12" t="n">
        <v>52.87</v>
      </c>
      <c r="Q9" s="12">
        <f>SUM(K9:P9)</f>
        <v/>
      </c>
    </row>
    <row r="10">
      <c r="A10" s="9" t="inlineStr">
        <is>
          <t>Oficina Motor Forte</t>
        </is>
      </c>
      <c r="B10" s="9" t="inlineStr">
        <is>
          <t>0106</t>
        </is>
      </c>
      <c r="C10" s="9" t="inlineStr">
        <is>
          <t>DEMO-0106-001</t>
        </is>
      </c>
      <c r="D10" s="9" t="inlineStr">
        <is>
          <t>Saída · serviço prestado</t>
        </is>
      </c>
      <c r="E10" s="10" t="n">
        <v>46295</v>
      </c>
      <c r="F10" s="9" t="inlineStr">
        <is>
          <t>09/2026</t>
        </is>
      </c>
      <c r="G10" s="9" t="inlineStr">
        <is>
          <t>Contraparte fictícia</t>
        </is>
      </c>
      <c r="H10" s="9" t="inlineStr">
        <is>
          <t>0702</t>
        </is>
      </c>
      <c r="I10" s="11" t="inlineStr">
        <is>
          <t>Apoio técnico fictício para regularização cadastral</t>
        </is>
      </c>
      <c r="J10" s="12" t="n">
        <v>1165.5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>
        <f>SUM(K10:P10)</f>
        <v/>
      </c>
    </row>
    <row r="11">
      <c r="A11" s="9" t="inlineStr">
        <is>
          <t>Oficina Motor Forte</t>
        </is>
      </c>
      <c r="B11" s="9" t="inlineStr">
        <is>
          <t>0106</t>
        </is>
      </c>
      <c r="C11" s="9" t="inlineStr">
        <is>
          <t>DEMO-0106-002</t>
        </is>
      </c>
      <c r="D11" s="9" t="inlineStr">
        <is>
          <t>Entrada · serviço tomado</t>
        </is>
      </c>
      <c r="E11" s="10" t="n">
        <v>46292</v>
      </c>
      <c r="F11" s="9" t="inlineStr">
        <is>
          <t>09/2026</t>
        </is>
      </c>
      <c r="G11" s="9" t="inlineStr">
        <is>
          <t>Contraparte fictícia</t>
        </is>
      </c>
      <c r="H11" s="9" t="inlineStr">
        <is>
          <t>1701</t>
        </is>
      </c>
      <c r="I11" s="11" t="inlineStr">
        <is>
          <t>Assessoria fiscal fictícia do período</t>
        </is>
      </c>
      <c r="J11" s="12" t="n">
        <v>1226.75</v>
      </c>
      <c r="K11" s="12" t="n">
        <v>24.03</v>
      </c>
      <c r="L11" s="12" t="n">
        <v>6.5</v>
      </c>
      <c r="M11" s="12" t="n">
        <v>30</v>
      </c>
      <c r="N11" s="12" t="n">
        <v>10</v>
      </c>
      <c r="O11" s="12" t="n">
        <v>7.2</v>
      </c>
      <c r="P11" s="12" t="n">
        <v>52.87</v>
      </c>
      <c r="Q11" s="12">
        <f>SUM(K11:P11)</f>
        <v/>
      </c>
    </row>
    <row r="12">
      <c r="A12" s="9" t="inlineStr">
        <is>
          <t>Oficina Motor Forte</t>
        </is>
      </c>
      <c r="B12" s="9" t="inlineStr">
        <is>
          <t>0106</t>
        </is>
      </c>
      <c r="C12" s="9" t="inlineStr">
        <is>
          <t>DEMO-0106-003</t>
        </is>
      </c>
      <c r="D12" s="9" t="inlineStr">
        <is>
          <t>Saída · serviço prestado</t>
        </is>
      </c>
      <c r="E12" s="10" t="n">
        <v>46289</v>
      </c>
      <c r="F12" s="9" t="inlineStr">
        <is>
          <t>09/2026</t>
        </is>
      </c>
      <c r="G12" s="9" t="inlineStr">
        <is>
          <t>Contraparte fictícia</t>
        </is>
      </c>
      <c r="H12" s="9" t="inlineStr">
        <is>
          <t>0910</t>
        </is>
      </c>
      <c r="I12" s="11" t="inlineStr">
        <is>
          <t>Serviço administrativo fictício de apoio operacional</t>
        </is>
      </c>
      <c r="J12" s="12" t="n">
        <v>1288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>
        <f>SUM(K12:P12)</f>
        <v/>
      </c>
    </row>
    <row r="13">
      <c r="A13" s="9" t="inlineStr">
        <is>
          <t>Oficina Motor Forte</t>
        </is>
      </c>
      <c r="B13" s="9" t="inlineStr">
        <is>
          <t>0106</t>
        </is>
      </c>
      <c r="C13" s="9" t="inlineStr">
        <is>
          <t>DEMO-0106-004</t>
        </is>
      </c>
      <c r="D13" s="9" t="inlineStr">
        <is>
          <t>Entrada · serviço tomado</t>
        </is>
      </c>
      <c r="E13" s="10" t="n">
        <v>46286</v>
      </c>
      <c r="F13" s="9" t="inlineStr">
        <is>
          <t>09/2026</t>
        </is>
      </c>
      <c r="G13" s="9" t="inlineStr">
        <is>
          <t>Contraparte fictícia</t>
        </is>
      </c>
      <c r="H13" s="9" t="inlineStr">
        <is>
          <t>1401</t>
        </is>
      </c>
      <c r="I13" s="11" t="inlineStr">
        <is>
          <t>Escrituração contábil fictícia do período</t>
        </is>
      </c>
      <c r="J13" s="12" t="n">
        <v>1349.25</v>
      </c>
      <c r="K13" s="12" t="n">
        <v>24.03</v>
      </c>
      <c r="L13" s="12" t="n">
        <v>6.5</v>
      </c>
      <c r="M13" s="12" t="n">
        <v>30</v>
      </c>
      <c r="N13" s="12" t="n">
        <v>10</v>
      </c>
      <c r="O13" s="12" t="n">
        <v>7.2</v>
      </c>
      <c r="P13" s="12" t="n">
        <v>52.87</v>
      </c>
      <c r="Q13" s="12">
        <f>SUM(K13:P13)</f>
        <v/>
      </c>
    </row>
  </sheetData>
  <autoFilter ref="A1:Q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2026-10-01T22:08:17Z</dcterms:created>
  <dcterms:modified xsi:type="dcterms:W3CDTF">2026-10-01T22:08:17Z</dcterms:modified>
</cp:coreProperties>
</file>